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90" windowWidth="28455" windowHeight="13785"/>
  </bookViews>
  <sheets>
    <sheet name="Sheet1" sheetId="1" r:id="rId1"/>
    <sheet name="Sheet2" sheetId="2" r:id="rId2"/>
    <sheet name="Sheet3" sheetId="3" r:id="rId3"/>
  </sheets>
  <definedNames>
    <definedName name="file_1" localSheetId="0">Sheet1!$A$7:$P$15</definedName>
    <definedName name="file_1" localSheetId="1">Sheet2!$A$5:$P$13</definedName>
  </definedNames>
  <calcPr calcId="124519"/>
</workbook>
</file>

<file path=xl/calcChain.xml><?xml version="1.0" encoding="utf-8"?>
<calcChain xmlns="http://schemas.openxmlformats.org/spreadsheetml/2006/main">
  <c r="Q15" i="1"/>
  <c r="C31" s="1"/>
  <c r="F12"/>
  <c r="C12"/>
  <c r="X15"/>
  <c r="S15" s="1"/>
  <c r="F31" s="1"/>
  <c r="V15"/>
  <c r="X14"/>
  <c r="V14"/>
  <c r="Q14" s="1"/>
  <c r="C30" s="1"/>
  <c r="X13"/>
  <c r="V13"/>
  <c r="X12"/>
  <c r="V12"/>
  <c r="X11"/>
  <c r="S11" s="1"/>
  <c r="F27" s="1"/>
  <c r="V11"/>
  <c r="Q9" s="1"/>
  <c r="C25" s="1"/>
  <c r="X10"/>
  <c r="V10"/>
  <c r="X9"/>
  <c r="S9" s="1"/>
  <c r="F25" s="1"/>
  <c r="V9"/>
  <c r="X8"/>
  <c r="V8"/>
  <c r="X7"/>
  <c r="V7"/>
  <c r="S13" l="1"/>
  <c r="F29" s="1"/>
  <c r="Q10"/>
  <c r="C26" s="1"/>
  <c r="Q12"/>
  <c r="C28" s="1"/>
  <c r="S8"/>
  <c r="F24" s="1"/>
  <c r="S10"/>
  <c r="F26" s="1"/>
  <c r="Q8"/>
  <c r="C24" s="1"/>
  <c r="S7"/>
  <c r="F23" s="1"/>
  <c r="Q13"/>
  <c r="C29" s="1"/>
  <c r="Q11"/>
  <c r="C27" s="1"/>
  <c r="S12"/>
  <c r="F28" s="1"/>
  <c r="S14"/>
  <c r="F30" s="1"/>
  <c r="Q7"/>
  <c r="C23" s="1"/>
</calcChain>
</file>

<file path=xl/connections.xml><?xml version="1.0" encoding="utf-8"?>
<connections xmlns="http://schemas.openxmlformats.org/spreadsheetml/2006/main">
  <connection id="1" name="file" type="6" refreshedVersion="3" background="1" saveData="1">
    <textPr codePage="437" sourceFile="E:\My_Course\6_Topics_in_Computational_Science_a\Homework\7_Strum_theorem\file.txt" space="1" consecutive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file1" type="6" refreshedVersion="3" background="1" saveData="1">
    <textPr codePage="437" sourceFile="E:\My_Course\6_Topics_in_Computational_Science_a\Homework\7_Strum_theorem\file.txt" space="1" consecutive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<sst xmlns="http://schemas.openxmlformats.org/spreadsheetml/2006/main" count="152" uniqueCount="36">
  <si>
    <t>^n</t>
  </si>
  <si>
    <t>N(0.125)</t>
  </si>
  <si>
    <t>N(0.6)</t>
  </si>
  <si>
    <t>f_{0}(x)</t>
  </si>
  <si>
    <t>f_{1}(x)</t>
  </si>
  <si>
    <t>f_{2}(x)</t>
  </si>
  <si>
    <t>f_{3}(x)</t>
  </si>
  <si>
    <t>f_{4}(x)</t>
  </si>
  <si>
    <t>f_{5}(x)</t>
  </si>
  <si>
    <t>f_{6}(x)</t>
  </si>
  <si>
    <t>f_{7}(x)</t>
  </si>
  <si>
    <t>f_{8}(x)</t>
  </si>
  <si>
    <t>&amp;=</t>
  </si>
  <si>
    <t>x^{8}</t>
  </si>
  <si>
    <t>-</t>
  </si>
  <si>
    <t>x^{6}</t>
  </si>
  <si>
    <t>+</t>
  </si>
  <si>
    <t>x^{4}</t>
  </si>
  <si>
    <t>x^2</t>
  </si>
  <si>
    <t>\\</t>
  </si>
  <si>
    <t>x^7</t>
  </si>
  <si>
    <t>x^5+</t>
  </si>
  <si>
    <t>x^3</t>
  </si>
  <si>
    <t>x</t>
  </si>
  <si>
    <t>x^6</t>
  </si>
  <si>
    <t>x^4</t>
  </si>
  <si>
    <t>x^5</t>
  </si>
  <si>
    <t>\dfrac{320}{3}</t>
  </si>
  <si>
    <t>\dfrac{160}{3}</t>
  </si>
  <si>
    <t>x^8</t>
  </si>
  <si>
    <t>Power of x</t>
  </si>
  <si>
    <t>Final result of f(x)</t>
  </si>
  <si>
    <t>Value of f(x)</t>
  </si>
  <si>
    <t>CALCULATION BY STRUM METHOD</t>
  </si>
  <si>
    <t>=</t>
  </si>
  <si>
    <t>Input Function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</si>
</sst>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2" xfId="0" applyNumberForma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file_1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file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X31"/>
  <sheetViews>
    <sheetView tabSelected="1" zoomScale="130" zoomScaleNormal="130" workbookViewId="0">
      <selection activeCell="K22" sqref="K22"/>
    </sheetView>
  </sheetViews>
  <sheetFormatPr defaultRowHeight="15"/>
  <cols>
    <col min="1" max="1" width="7.5703125" bestFit="1" customWidth="1"/>
    <col min="2" max="2" width="3.42578125" bestFit="1" customWidth="1"/>
    <col min="3" max="3" width="7.7109375" bestFit="1" customWidth="1"/>
    <col min="4" max="4" width="8.140625" bestFit="1" customWidth="1"/>
    <col min="5" max="5" width="2.7109375" bestFit="1" customWidth="1"/>
    <col min="6" max="6" width="8.85546875" bestFit="1" customWidth="1"/>
    <col min="7" max="7" width="5.42578125" bestFit="1" customWidth="1"/>
    <col min="8" max="8" width="5" bestFit="1" customWidth="1"/>
    <col min="9" max="10" width="5.42578125" bestFit="1" customWidth="1"/>
    <col min="11" max="12" width="3" bestFit="1" customWidth="1"/>
    <col min="13" max="13" width="4.28515625" customWidth="1"/>
    <col min="14" max="15" width="2" bestFit="1" customWidth="1"/>
    <col min="16" max="16" width="2.7109375" bestFit="1" customWidth="1"/>
    <col min="18" max="18" width="2.42578125" customWidth="1"/>
    <col min="20" max="21" width="3.85546875" customWidth="1"/>
    <col min="22" max="22" width="12" bestFit="1" customWidth="1"/>
    <col min="23" max="23" width="4.42578125" customWidth="1"/>
  </cols>
  <sheetData>
    <row r="2" spans="1:24">
      <c r="A2" s="10" t="s">
        <v>33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5" spans="1:24">
      <c r="A5" s="1" t="s">
        <v>35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Q5" s="4" t="s">
        <v>32</v>
      </c>
      <c r="R5" s="4"/>
      <c r="S5" s="4"/>
      <c r="U5" s="4" t="s">
        <v>30</v>
      </c>
      <c r="V5" s="4"/>
      <c r="W5" s="4"/>
      <c r="X5" s="4"/>
    </row>
    <row r="6" spans="1:24">
      <c r="Q6" s="5">
        <v>0.125</v>
      </c>
      <c r="R6" s="5"/>
      <c r="S6" s="5">
        <v>0.6</v>
      </c>
      <c r="U6" s="5" t="s">
        <v>0</v>
      </c>
      <c r="V6" s="5">
        <v>0.125</v>
      </c>
      <c r="W6" s="5"/>
      <c r="X6" s="5">
        <v>0.6</v>
      </c>
    </row>
    <row r="7" spans="1:24">
      <c r="A7" t="s">
        <v>3</v>
      </c>
      <c r="B7" t="s">
        <v>12</v>
      </c>
      <c r="C7">
        <v>256</v>
      </c>
      <c r="D7" t="s">
        <v>29</v>
      </c>
      <c r="E7" t="s">
        <v>14</v>
      </c>
      <c r="F7">
        <v>512</v>
      </c>
      <c r="G7" t="s">
        <v>24</v>
      </c>
      <c r="H7" t="s">
        <v>16</v>
      </c>
      <c r="I7">
        <v>304</v>
      </c>
      <c r="J7" t="s">
        <v>25</v>
      </c>
      <c r="K7" t="s">
        <v>14</v>
      </c>
      <c r="L7">
        <v>48</v>
      </c>
      <c r="M7" t="s">
        <v>18</v>
      </c>
      <c r="N7" t="s">
        <v>16</v>
      </c>
      <c r="O7">
        <v>1</v>
      </c>
      <c r="P7" t="s">
        <v>19</v>
      </c>
      <c r="Q7" s="5">
        <f>C7*V7-F7*V9+I7*V11-L7*V13+O7</f>
        <v>0.3222808837890625</v>
      </c>
      <c r="R7" s="5"/>
      <c r="S7" s="5">
        <f>C7*X7-F7*X9+I7*X11-L7*X13+O7</f>
        <v>3.5303449599999936</v>
      </c>
      <c r="U7" s="5">
        <v>8</v>
      </c>
      <c r="V7" s="5">
        <f>V$6^U7</f>
        <v>5.9604644775390625E-8</v>
      </c>
      <c r="W7" s="5"/>
      <c r="X7" s="5">
        <f>X$6^U7</f>
        <v>1.6796159999999997E-2</v>
      </c>
    </row>
    <row r="8" spans="1:24">
      <c r="A8" t="s">
        <v>4</v>
      </c>
      <c r="B8" t="s">
        <v>12</v>
      </c>
      <c r="C8">
        <v>2048</v>
      </c>
      <c r="D8" t="s">
        <v>20</v>
      </c>
      <c r="E8" t="s">
        <v>14</v>
      </c>
      <c r="F8">
        <v>3072</v>
      </c>
      <c r="G8" t="s">
        <v>26</v>
      </c>
      <c r="H8" t="s">
        <v>16</v>
      </c>
      <c r="I8">
        <v>1216</v>
      </c>
      <c r="J8" t="s">
        <v>22</v>
      </c>
      <c r="K8" t="s">
        <v>14</v>
      </c>
      <c r="L8">
        <v>96</v>
      </c>
      <c r="M8" t="s">
        <v>23</v>
      </c>
      <c r="N8" t="s">
        <v>19</v>
      </c>
      <c r="Q8" s="5">
        <f t="shared" ref="Q8:Q12" si="0">C8*V8-F8*V10+I8*V12-L8*V14+O8</f>
        <v>-9.7177734375</v>
      </c>
      <c r="R8" s="5"/>
      <c r="S8" s="5">
        <f t="shared" ref="S8:S12" si="1">C8*X8-F8*X10+I8*X12-L8*X14+O8</f>
        <v>23.508172800000011</v>
      </c>
      <c r="U8" s="5">
        <v>7</v>
      </c>
      <c r="V8" s="5">
        <f>V$6^U8</f>
        <v>4.76837158203125E-7</v>
      </c>
      <c r="W8" s="5"/>
      <c r="X8" s="5">
        <f>X$6^U8</f>
        <v>2.7993599999999997E-2</v>
      </c>
    </row>
    <row r="9" spans="1:24">
      <c r="A9" t="s">
        <v>5</v>
      </c>
      <c r="B9" t="s">
        <v>12</v>
      </c>
      <c r="C9">
        <v>128</v>
      </c>
      <c r="D9" t="s">
        <v>24</v>
      </c>
      <c r="E9" t="s">
        <v>14</v>
      </c>
      <c r="F9">
        <v>152</v>
      </c>
      <c r="G9" t="s">
        <v>25</v>
      </c>
      <c r="H9" t="s">
        <v>16</v>
      </c>
      <c r="I9">
        <v>36</v>
      </c>
      <c r="J9" t="s">
        <v>18</v>
      </c>
      <c r="K9" t="s">
        <v>14</v>
      </c>
      <c r="L9">
        <v>1</v>
      </c>
      <c r="M9" t="s">
        <v>19</v>
      </c>
      <c r="Q9" s="5">
        <f t="shared" si="0"/>
        <v>-0.47412109375</v>
      </c>
      <c r="R9" s="5"/>
      <c r="S9" s="5">
        <f t="shared" si="1"/>
        <v>-1.7672319999999981</v>
      </c>
      <c r="U9" s="5">
        <v>6</v>
      </c>
      <c r="V9" s="5">
        <f>V$6^U9</f>
        <v>3.814697265625E-6</v>
      </c>
      <c r="W9" s="5"/>
      <c r="X9" s="5">
        <f>X$6^U9</f>
        <v>4.6655999999999996E-2</v>
      </c>
    </row>
    <row r="10" spans="1:24">
      <c r="A10" t="s">
        <v>6</v>
      </c>
      <c r="B10" t="s">
        <v>12</v>
      </c>
      <c r="C10">
        <v>640</v>
      </c>
      <c r="D10" t="s">
        <v>26</v>
      </c>
      <c r="E10" t="s">
        <v>14</v>
      </c>
      <c r="F10">
        <v>640</v>
      </c>
      <c r="G10" t="s">
        <v>22</v>
      </c>
      <c r="H10" t="s">
        <v>16</v>
      </c>
      <c r="I10">
        <v>80</v>
      </c>
      <c r="J10" t="s">
        <v>23</v>
      </c>
      <c r="K10" t="s">
        <v>19</v>
      </c>
      <c r="Q10" s="5">
        <f t="shared" si="0"/>
        <v>8.76953125</v>
      </c>
      <c r="R10" s="5"/>
      <c r="S10" s="5">
        <f t="shared" si="1"/>
        <v>-40.473600000000005</v>
      </c>
      <c r="U10" s="5">
        <v>5</v>
      </c>
      <c r="V10" s="5">
        <f>V$6^U10</f>
        <v>3.0517578125E-5</v>
      </c>
      <c r="W10" s="5"/>
      <c r="X10" s="5">
        <f>X$6^U10</f>
        <v>7.7759999999999996E-2</v>
      </c>
    </row>
    <row r="11" spans="1:24">
      <c r="A11" t="s">
        <v>7</v>
      </c>
      <c r="B11" t="s">
        <v>12</v>
      </c>
      <c r="C11">
        <v>24</v>
      </c>
      <c r="D11" t="s">
        <v>25</v>
      </c>
      <c r="E11" t="s">
        <v>14</v>
      </c>
      <c r="F11">
        <v>20</v>
      </c>
      <c r="G11" t="s">
        <v>18</v>
      </c>
      <c r="H11" t="s">
        <v>16</v>
      </c>
      <c r="I11">
        <v>1</v>
      </c>
      <c r="J11" t="s">
        <v>19</v>
      </c>
      <c r="Q11" s="5">
        <f t="shared" si="0"/>
        <v>0.693359375</v>
      </c>
      <c r="R11" s="5"/>
      <c r="S11" s="5">
        <f t="shared" si="1"/>
        <v>-3.089599999999999</v>
      </c>
      <c r="U11" s="5">
        <v>4</v>
      </c>
      <c r="V11" s="5">
        <f>V$6^U11</f>
        <v>2.44140625E-4</v>
      </c>
      <c r="W11" s="5"/>
      <c r="X11" s="5">
        <f>X$6^U11</f>
        <v>0.12959999999999999</v>
      </c>
    </row>
    <row r="12" spans="1:24">
      <c r="A12" t="s">
        <v>8</v>
      </c>
      <c r="B12" t="s">
        <v>12</v>
      </c>
      <c r="C12" s="2">
        <f>320/{3}</f>
        <v>106.66666666666667</v>
      </c>
      <c r="D12" t="s">
        <v>22</v>
      </c>
      <c r="E12" t="s">
        <v>14</v>
      </c>
      <c r="F12" s="2">
        <f>160/3</f>
        <v>53.333333333333336</v>
      </c>
      <c r="G12" t="s">
        <v>23</v>
      </c>
      <c r="H12" t="s">
        <v>19</v>
      </c>
      <c r="Q12" s="5">
        <f t="shared" si="0"/>
        <v>-6.4583333333333339</v>
      </c>
      <c r="R12" s="5"/>
      <c r="S12" s="5">
        <f t="shared" si="1"/>
        <v>-8.9600000000000009</v>
      </c>
      <c r="U12" s="5">
        <v>3</v>
      </c>
      <c r="V12" s="5">
        <f>V$6^U12</f>
        <v>1.953125E-3</v>
      </c>
      <c r="W12" s="5"/>
      <c r="X12" s="5">
        <f>X$6^U12</f>
        <v>0.216</v>
      </c>
    </row>
    <row r="13" spans="1:24">
      <c r="A13" t="s">
        <v>9</v>
      </c>
      <c r="B13" t="s">
        <v>12</v>
      </c>
      <c r="C13">
        <v>8</v>
      </c>
      <c r="D13" t="s">
        <v>18</v>
      </c>
      <c r="E13" t="s">
        <v>14</v>
      </c>
      <c r="F13">
        <v>1</v>
      </c>
      <c r="G13" t="s">
        <v>19</v>
      </c>
      <c r="Q13" s="5">
        <f>C13*V13-F13*V15+I13*V17-L13*V19+O13</f>
        <v>-0.875</v>
      </c>
      <c r="R13" s="5"/>
      <c r="S13" s="5">
        <f>C13*X13-F13*X15+I13*X17-L13*X19+O13</f>
        <v>1.88</v>
      </c>
      <c r="U13" s="5">
        <v>2</v>
      </c>
      <c r="V13" s="5">
        <f>V$6^U13</f>
        <v>1.5625E-2</v>
      </c>
      <c r="W13" s="5"/>
      <c r="X13" s="5">
        <f>X$6^U13</f>
        <v>0.36</v>
      </c>
    </row>
    <row r="14" spans="1:24">
      <c r="A14" t="s">
        <v>10</v>
      </c>
      <c r="B14" t="s">
        <v>12</v>
      </c>
      <c r="C14">
        <v>40</v>
      </c>
      <c r="D14" t="s">
        <v>23</v>
      </c>
      <c r="E14" t="s">
        <v>19</v>
      </c>
      <c r="Q14" s="5">
        <f>C14*V14-F14*V16+I14*V18-L14*V20+O14</f>
        <v>5</v>
      </c>
      <c r="R14" s="5"/>
      <c r="S14" s="5">
        <f>C14*X14-F14*X16+I14*X18-L14*X20+O14</f>
        <v>24</v>
      </c>
      <c r="U14" s="5">
        <v>1</v>
      </c>
      <c r="V14" s="5">
        <f>V$6^U14</f>
        <v>0.125</v>
      </c>
      <c r="W14" s="5"/>
      <c r="X14" s="5">
        <f>X$6^U14</f>
        <v>0.6</v>
      </c>
    </row>
    <row r="15" spans="1:24">
      <c r="A15" t="s">
        <v>11</v>
      </c>
      <c r="B15" t="s">
        <v>12</v>
      </c>
      <c r="C15">
        <v>1</v>
      </c>
      <c r="Q15" s="5">
        <f>C15*V15-F15*V17+I15*V19-L15*V21+O15</f>
        <v>1</v>
      </c>
      <c r="R15" s="5"/>
      <c r="S15" s="5">
        <f>C15*X15-F15*X17+I15*X19-L15*X21+O15</f>
        <v>1</v>
      </c>
      <c r="U15" s="5">
        <v>0</v>
      </c>
      <c r="V15" s="5">
        <f>V$6^U15</f>
        <v>1</v>
      </c>
      <c r="W15" s="5"/>
      <c r="X15" s="5">
        <f>X$6^U15</f>
        <v>1</v>
      </c>
    </row>
    <row r="17" spans="1:19">
      <c r="Q17" t="s">
        <v>1</v>
      </c>
      <c r="S17" t="s">
        <v>2</v>
      </c>
    </row>
    <row r="18" spans="1:19">
      <c r="Q18">
        <v>4</v>
      </c>
      <c r="S18">
        <v>2</v>
      </c>
    </row>
    <row r="21" spans="1:19">
      <c r="A21" s="1" t="s">
        <v>31</v>
      </c>
      <c r="B21" s="1"/>
      <c r="C21" s="1"/>
      <c r="D21" s="1"/>
      <c r="E21" s="1"/>
      <c r="F21" s="1"/>
    </row>
    <row r="22" spans="1:19">
      <c r="A22" s="7" t="s">
        <v>23</v>
      </c>
      <c r="B22" s="7"/>
      <c r="C22" s="8">
        <v>0.125</v>
      </c>
      <c r="D22" s="7"/>
      <c r="E22" s="8"/>
      <c r="F22" s="7">
        <v>0.6</v>
      </c>
    </row>
    <row r="23" spans="1:19">
      <c r="A23" t="s">
        <v>3</v>
      </c>
      <c r="B23" t="s">
        <v>34</v>
      </c>
      <c r="C23" s="9">
        <f>Q7</f>
        <v>0.3222808837890625</v>
      </c>
      <c r="E23" s="6"/>
      <c r="F23" s="3">
        <f>S7</f>
        <v>3.5303449599999936</v>
      </c>
    </row>
    <row r="24" spans="1:19">
      <c r="A24" t="s">
        <v>4</v>
      </c>
      <c r="B24" t="s">
        <v>34</v>
      </c>
      <c r="C24" s="9">
        <f t="shared" ref="C24:C31" si="2">Q8</f>
        <v>-9.7177734375</v>
      </c>
      <c r="E24" s="6"/>
      <c r="F24" s="3">
        <f t="shared" ref="F24:F31" si="3">S8</f>
        <v>23.508172800000011</v>
      </c>
    </row>
    <row r="25" spans="1:19">
      <c r="A25" t="s">
        <v>5</v>
      </c>
      <c r="B25" t="s">
        <v>34</v>
      </c>
      <c r="C25" s="9">
        <f t="shared" si="2"/>
        <v>-0.47412109375</v>
      </c>
      <c r="E25" s="6"/>
      <c r="F25" s="3">
        <f t="shared" si="3"/>
        <v>-1.7672319999999981</v>
      </c>
    </row>
    <row r="26" spans="1:19">
      <c r="A26" t="s">
        <v>6</v>
      </c>
      <c r="B26" t="s">
        <v>34</v>
      </c>
      <c r="C26" s="9">
        <f t="shared" si="2"/>
        <v>8.76953125</v>
      </c>
      <c r="E26" s="6"/>
      <c r="F26" s="3">
        <f t="shared" si="3"/>
        <v>-40.473600000000005</v>
      </c>
    </row>
    <row r="27" spans="1:19">
      <c r="A27" t="s">
        <v>7</v>
      </c>
      <c r="B27" t="s">
        <v>34</v>
      </c>
      <c r="C27" s="9">
        <f t="shared" si="2"/>
        <v>0.693359375</v>
      </c>
      <c r="E27" s="6"/>
      <c r="F27" s="3">
        <f t="shared" si="3"/>
        <v>-3.089599999999999</v>
      </c>
    </row>
    <row r="28" spans="1:19">
      <c r="A28" t="s">
        <v>8</v>
      </c>
      <c r="B28" t="s">
        <v>34</v>
      </c>
      <c r="C28" s="9">
        <f t="shared" si="2"/>
        <v>-6.4583333333333339</v>
      </c>
      <c r="E28" s="6"/>
      <c r="F28">
        <f t="shared" si="3"/>
        <v>-8.9600000000000009</v>
      </c>
    </row>
    <row r="29" spans="1:19">
      <c r="A29" t="s">
        <v>9</v>
      </c>
      <c r="B29" t="s">
        <v>34</v>
      </c>
      <c r="C29" s="6">
        <f t="shared" si="2"/>
        <v>-0.875</v>
      </c>
      <c r="E29" s="6"/>
      <c r="F29">
        <f t="shared" si="3"/>
        <v>1.88</v>
      </c>
    </row>
    <row r="30" spans="1:19">
      <c r="A30" t="s">
        <v>10</v>
      </c>
      <c r="B30" t="s">
        <v>34</v>
      </c>
      <c r="C30" s="6">
        <f t="shared" si="2"/>
        <v>5</v>
      </c>
      <c r="E30" s="6"/>
      <c r="F30">
        <f t="shared" si="3"/>
        <v>24</v>
      </c>
    </row>
    <row r="31" spans="1:19">
      <c r="A31" t="s">
        <v>11</v>
      </c>
      <c r="B31" t="s">
        <v>34</v>
      </c>
      <c r="C31" s="6">
        <f t="shared" si="2"/>
        <v>1</v>
      </c>
      <c r="E31" s="6"/>
      <c r="F31">
        <f t="shared" si="3"/>
        <v>1</v>
      </c>
    </row>
  </sheetData>
  <mergeCells count="5">
    <mergeCell ref="Q5:S5"/>
    <mergeCell ref="U5:X5"/>
    <mergeCell ref="A5:O5"/>
    <mergeCell ref="A21:F21"/>
    <mergeCell ref="A2:X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5:P13"/>
  <sheetViews>
    <sheetView workbookViewId="0">
      <selection activeCell="A5" sqref="A5:P13"/>
    </sheetView>
  </sheetViews>
  <sheetFormatPr defaultRowHeight="15"/>
  <cols>
    <col min="1" max="1" width="7.5703125" bestFit="1" customWidth="1"/>
    <col min="2" max="2" width="3.42578125" bestFit="1" customWidth="1"/>
    <col min="3" max="3" width="13.28515625" bestFit="1" customWidth="1"/>
    <col min="4" max="4" width="5.42578125" bestFit="1" customWidth="1"/>
    <col min="5" max="5" width="2.7109375" bestFit="1" customWidth="1"/>
    <col min="6" max="6" width="13.28515625" bestFit="1" customWidth="1"/>
    <col min="7" max="7" width="5.42578125" bestFit="1" customWidth="1"/>
    <col min="8" max="8" width="5" bestFit="1" customWidth="1"/>
    <col min="9" max="9" width="4" bestFit="1" customWidth="1"/>
    <col min="10" max="10" width="5.42578125" bestFit="1" customWidth="1"/>
    <col min="11" max="12" width="3" bestFit="1" customWidth="1"/>
    <col min="13" max="13" width="4" bestFit="1" customWidth="1"/>
    <col min="14" max="15" width="2" bestFit="1" customWidth="1"/>
    <col min="16" max="16" width="2.7109375" bestFit="1" customWidth="1"/>
  </cols>
  <sheetData>
    <row r="5" spans="1:16">
      <c r="A5" t="s">
        <v>3</v>
      </c>
      <c r="B5" t="s">
        <v>12</v>
      </c>
      <c r="C5">
        <v>256</v>
      </c>
      <c r="D5" t="s">
        <v>13</v>
      </c>
      <c r="E5" t="s">
        <v>14</v>
      </c>
      <c r="F5">
        <v>512</v>
      </c>
      <c r="G5" t="s">
        <v>15</v>
      </c>
      <c r="H5" t="s">
        <v>16</v>
      </c>
      <c r="I5">
        <v>304</v>
      </c>
      <c r="J5" t="s">
        <v>17</v>
      </c>
      <c r="K5" t="s">
        <v>14</v>
      </c>
      <c r="L5">
        <v>48</v>
      </c>
      <c r="M5" t="s">
        <v>18</v>
      </c>
      <c r="N5" t="s">
        <v>16</v>
      </c>
      <c r="O5">
        <v>1</v>
      </c>
      <c r="P5" t="s">
        <v>19</v>
      </c>
    </row>
    <row r="6" spans="1:16">
      <c r="A6" t="s">
        <v>4</v>
      </c>
      <c r="B6" t="s">
        <v>12</v>
      </c>
      <c r="C6">
        <v>2048</v>
      </c>
      <c r="D6" t="s">
        <v>20</v>
      </c>
      <c r="E6" t="s">
        <v>14</v>
      </c>
      <c r="F6">
        <v>3072</v>
      </c>
      <c r="G6" t="s">
        <v>21</v>
      </c>
      <c r="H6">
        <v>1216</v>
      </c>
      <c r="I6" t="s">
        <v>22</v>
      </c>
      <c r="J6" t="s">
        <v>14</v>
      </c>
      <c r="K6">
        <v>96</v>
      </c>
      <c r="L6" t="s">
        <v>23</v>
      </c>
      <c r="M6" t="s">
        <v>19</v>
      </c>
    </row>
    <row r="7" spans="1:16">
      <c r="A7" t="s">
        <v>5</v>
      </c>
      <c r="B7" t="s">
        <v>12</v>
      </c>
      <c r="C7">
        <v>128</v>
      </c>
      <c r="D7" t="s">
        <v>24</v>
      </c>
      <c r="E7" t="s">
        <v>14</v>
      </c>
      <c r="F7">
        <v>152</v>
      </c>
      <c r="G7" t="s">
        <v>25</v>
      </c>
      <c r="H7" t="s">
        <v>16</v>
      </c>
      <c r="I7">
        <v>36</v>
      </c>
      <c r="J7" t="s">
        <v>18</v>
      </c>
      <c r="K7" t="s">
        <v>14</v>
      </c>
      <c r="L7">
        <v>1</v>
      </c>
      <c r="M7" t="s">
        <v>19</v>
      </c>
    </row>
    <row r="8" spans="1:16">
      <c r="A8" t="s">
        <v>6</v>
      </c>
      <c r="B8" t="s">
        <v>12</v>
      </c>
      <c r="C8">
        <v>640</v>
      </c>
      <c r="D8" t="s">
        <v>26</v>
      </c>
      <c r="E8" t="s">
        <v>14</v>
      </c>
      <c r="F8">
        <v>640</v>
      </c>
      <c r="G8" t="s">
        <v>22</v>
      </c>
      <c r="H8" t="s">
        <v>16</v>
      </c>
      <c r="I8">
        <v>80</v>
      </c>
      <c r="J8" t="s">
        <v>23</v>
      </c>
      <c r="K8" t="s">
        <v>19</v>
      </c>
    </row>
    <row r="9" spans="1:16">
      <c r="A9" t="s">
        <v>7</v>
      </c>
      <c r="B9" t="s">
        <v>12</v>
      </c>
      <c r="C9">
        <v>24</v>
      </c>
      <c r="D9" t="s">
        <v>25</v>
      </c>
      <c r="E9" t="s">
        <v>14</v>
      </c>
      <c r="F9">
        <v>20</v>
      </c>
      <c r="G9" t="s">
        <v>18</v>
      </c>
      <c r="H9" t="s">
        <v>16</v>
      </c>
      <c r="I9">
        <v>1</v>
      </c>
      <c r="J9" t="s">
        <v>19</v>
      </c>
    </row>
    <row r="10" spans="1:16">
      <c r="A10" t="s">
        <v>8</v>
      </c>
      <c r="B10" t="s">
        <v>12</v>
      </c>
      <c r="C10" t="s">
        <v>27</v>
      </c>
      <c r="D10" t="s">
        <v>22</v>
      </c>
      <c r="E10" t="s">
        <v>14</v>
      </c>
      <c r="F10" t="s">
        <v>28</v>
      </c>
      <c r="G10" t="s">
        <v>23</v>
      </c>
      <c r="H10" t="s">
        <v>19</v>
      </c>
    </row>
    <row r="11" spans="1:16">
      <c r="A11" t="s">
        <v>9</v>
      </c>
      <c r="B11" t="s">
        <v>12</v>
      </c>
      <c r="C11">
        <v>8</v>
      </c>
      <c r="D11" t="s">
        <v>18</v>
      </c>
      <c r="E11" t="s">
        <v>14</v>
      </c>
      <c r="F11">
        <v>1</v>
      </c>
      <c r="G11" t="s">
        <v>19</v>
      </c>
    </row>
    <row r="12" spans="1:16">
      <c r="A12" t="s">
        <v>10</v>
      </c>
      <c r="B12" t="s">
        <v>12</v>
      </c>
      <c r="C12">
        <v>40</v>
      </c>
      <c r="D12" t="s">
        <v>23</v>
      </c>
      <c r="E12" t="s">
        <v>19</v>
      </c>
    </row>
    <row r="13" spans="1:16">
      <c r="A13" t="s">
        <v>11</v>
      </c>
      <c r="B13" t="s">
        <v>12</v>
      </c>
      <c r="C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Sheet1!file_1</vt:lpstr>
      <vt:lpstr>Sheet2!file_1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DRAGON</dc:creator>
  <cp:lastModifiedBy>MSI DRAGON</cp:lastModifiedBy>
  <cp:lastPrinted>2021-08-06T12:26:11Z</cp:lastPrinted>
  <dcterms:created xsi:type="dcterms:W3CDTF">2021-08-06T11:33:09Z</dcterms:created>
  <dcterms:modified xsi:type="dcterms:W3CDTF">2021-08-06T13:15:50Z</dcterms:modified>
</cp:coreProperties>
</file>